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xu\Dropbox\Karen Xu Latest Files\Real Estate Clients\Buyers\2025\Ardi\"/>
    </mc:Choice>
  </mc:AlternateContent>
  <xr:revisionPtr revIDLastSave="0" documentId="8_{B9965628-BE88-494E-894D-A0577E1F2DA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ventional Loans" sheetId="1" r:id="rId1"/>
    <sheet name="FHA Loans" sheetId="2" r:id="rId2"/>
    <sheet name="Tax Reference Information" sheetId="3" r:id="rId3"/>
  </sheets>
  <externalReferences>
    <externalReference r:id="rId4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B19" i="1"/>
  <c r="B3" i="1"/>
  <c r="B4" i="1" l="1"/>
  <c r="B15" i="1"/>
  <c r="E4" i="1"/>
  <c r="B12" i="1"/>
  <c r="E13" i="1"/>
  <c r="E16" i="1" s="1"/>
  <c r="E19" i="1" s="1"/>
  <c r="B20" i="1"/>
  <c r="B4" i="2"/>
  <c r="B11" i="2"/>
  <c r="B12" i="2"/>
  <c r="E3" i="2"/>
  <c r="E13" i="2"/>
  <c r="B15" i="2"/>
  <c r="E15" i="2"/>
  <c r="E16" i="2"/>
  <c r="B20" i="2"/>
  <c r="B21" i="2"/>
  <c r="B16" i="2"/>
  <c r="B19" i="2"/>
  <c r="B22" i="2"/>
  <c r="B28" i="2"/>
  <c r="E2" i="2"/>
  <c r="E4" i="2"/>
  <c r="B30" i="2"/>
  <c r="E6" i="2"/>
  <c r="E10" i="2"/>
  <c r="E19" i="2"/>
  <c r="E18" i="2"/>
  <c r="E15" i="1" l="1"/>
  <c r="B22" i="1"/>
  <c r="B28" i="1" s="1"/>
  <c r="B11" i="1"/>
  <c r="B16" i="1" s="1"/>
  <c r="B30" i="1" l="1"/>
  <c r="E6" i="1" s="1"/>
  <c r="E10" i="1" s="1"/>
  <c r="E18" i="1" s="1"/>
</calcChain>
</file>

<file path=xl/sharedStrings.xml><?xml version="1.0" encoding="utf-8"?>
<sst xmlns="http://schemas.openxmlformats.org/spreadsheetml/2006/main" count="118" uniqueCount="90">
  <si>
    <t>Rent vs. Buy Comparison</t>
  </si>
  <si>
    <t>Purchase Price</t>
  </si>
  <si>
    <t>Qualified tax deduction</t>
  </si>
  <si>
    <t>1st amortization, principal paid per month</t>
  </si>
  <si>
    <t>2nd amortization principal paid per month</t>
  </si>
  <si>
    <t>1st Loan Amount  with downpayment</t>
  </si>
  <si>
    <t>total amortization, total principal paid</t>
  </si>
  <si>
    <t>1st Interest Rate ^</t>
  </si>
  <si>
    <t>True Cost vs. Renting</t>
  </si>
  <si>
    <t>&lt;== Take Total After Tax Payment minus Total Amortization</t>
  </si>
  <si>
    <t>2nd Loan Amount</t>
  </si>
  <si>
    <t>2nd Interest Rate ^</t>
  </si>
  <si>
    <t>Current Rent Payment</t>
  </si>
  <si>
    <t>Monthly Gain/Loss vs. Renting</t>
  </si>
  <si>
    <t>&lt;== Take Current Rent minus True Cost</t>
  </si>
  <si>
    <t>Monthly 1st loan payment</t>
  </si>
  <si>
    <t>Monthly 2nd loan payment</t>
  </si>
  <si>
    <t>HOA/PMI</t>
  </si>
  <si>
    <t>Purchase Price Now</t>
  </si>
  <si>
    <t>Insurance</t>
  </si>
  <si>
    <t>Annual Appreciation Guesstimate</t>
  </si>
  <si>
    <t xml:space="preserve">&lt;== This is just a guess. Customer must draw their own conclusions here. </t>
  </si>
  <si>
    <t>Home Value in 5 Years</t>
  </si>
  <si>
    <t>Total Monthly Payment</t>
  </si>
  <si>
    <t>Home Value in 10 Years</t>
  </si>
  <si>
    <t>Gain after 5 Years</t>
  </si>
  <si>
    <t xml:space="preserve">Monthly Interest on 1st Loan </t>
  </si>
  <si>
    <t>Based on $750K</t>
  </si>
  <si>
    <t>Gain after 10 Years</t>
  </si>
  <si>
    <t xml:space="preserve">Monthly Interest on 2nd Loan </t>
  </si>
  <si>
    <t>Montly Property Tax</t>
  </si>
  <si>
    <t>Based on $10K</t>
  </si>
  <si>
    <t>Total Tax Deduction</t>
  </si>
  <si>
    <t>Federal Tax Bracket</t>
  </si>
  <si>
    <t>CA State Tax Bracket</t>
  </si>
  <si>
    <t xml:space="preserve">Standard Deduction </t>
  </si>
  <si>
    <t>* Tax Savings per Month</t>
  </si>
  <si>
    <t>* After Tax Saving Payment</t>
  </si>
  <si>
    <t>&lt;== Take Total Payment minus Actual Tax Savings</t>
  </si>
  <si>
    <t xml:space="preserve">* Tax deductions and savings are just a rough estimate and will vary for each individual.  We recommend you obtain the actual tax deduction and savings from a tax professional. </t>
  </si>
  <si>
    <t>^ The interest rates used in this example are for illustration purposes only.  This is not a rate quote or commitment to lend.</t>
  </si>
  <si>
    <t>1st amortization</t>
  </si>
  <si>
    <t>2nd amortization</t>
  </si>
  <si>
    <t>1st Loan Amount</t>
  </si>
  <si>
    <t>total amortization</t>
  </si>
  <si>
    <t>1st loan payment</t>
  </si>
  <si>
    <t>2nd loan payment</t>
  </si>
  <si>
    <t xml:space="preserve">Hazard Insurance / HOA </t>
  </si>
  <si>
    <t>Mortgage Insurance</t>
  </si>
  <si>
    <t>Property Taxes</t>
  </si>
  <si>
    <t>Total Payment</t>
  </si>
  <si>
    <t xml:space="preserve">Interest on 1st Loan </t>
  </si>
  <si>
    <t xml:space="preserve">Interest on 2nd Loan </t>
  </si>
  <si>
    <t>Property Tax</t>
  </si>
  <si>
    <t>* After Tax Payment</t>
  </si>
  <si>
    <t xml:space="preserve">Reference Information </t>
  </si>
  <si>
    <t>Federal Tax Brackets for 2010</t>
  </si>
  <si>
    <t>Tax Bracket</t>
  </si>
  <si>
    <t>Single</t>
  </si>
  <si>
    <t xml:space="preserve">Married Filling Jointly </t>
  </si>
  <si>
    <t>0 - 8,375</t>
  </si>
  <si>
    <t>0 -16,750</t>
  </si>
  <si>
    <t>8,375 - 34,000</t>
  </si>
  <si>
    <t>16,750 - 68,000</t>
  </si>
  <si>
    <t>34,000 - 82,400</t>
  </si>
  <si>
    <t>68,000 - 137,300</t>
  </si>
  <si>
    <t>82,400 - 171,850</t>
  </si>
  <si>
    <t>137,300 - 209,250</t>
  </si>
  <si>
    <t>171,850 - 373, 650</t>
  </si>
  <si>
    <t>209,250 - 373,650</t>
  </si>
  <si>
    <t>373,650 - +</t>
  </si>
  <si>
    <t xml:space="preserve">373,650 - + </t>
  </si>
  <si>
    <t xml:space="preserve">California Tax Brackets for 2010 </t>
  </si>
  <si>
    <t>0 - 7,124</t>
  </si>
  <si>
    <t>0 - 14,248</t>
  </si>
  <si>
    <t>7,124 - 16,890</t>
  </si>
  <si>
    <t>14,248 - 33,780</t>
  </si>
  <si>
    <t>16,890, 26,657</t>
  </si>
  <si>
    <t>33,780 - 53,314</t>
  </si>
  <si>
    <t>26,657 - 37,005</t>
  </si>
  <si>
    <t>53,314 - 74,010</t>
  </si>
  <si>
    <t>37,005 - 46,766</t>
  </si>
  <si>
    <t>74,010 - 93,532</t>
  </si>
  <si>
    <t xml:space="preserve">46,766 - + </t>
  </si>
  <si>
    <t xml:space="preserve">93,532 - + </t>
  </si>
  <si>
    <t>Standard Deductions</t>
  </si>
  <si>
    <t>Single is 5,700</t>
  </si>
  <si>
    <t>Married is 11,400</t>
  </si>
  <si>
    <t>Downpayment 5%</t>
  </si>
  <si>
    <t>Monthly Property Taxes 1.25%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</si>
</sst>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\$* #,##0.00_);_(\$* \(#,##0.00\);_(\$* \-??_);_(@_)"/>
    <numFmt numFmtId="165" formatCode="0.000%"/>
    <numFmt numFmtId="166" formatCode="\$#,##0.00_);[Red]&quot;($&quot;#,##0.00\)"/>
  </numFmts>
  <fonts count="9" x14ac:knownFonts="1">
    <font>
      <sz val="11"/>
      <color indexed="8"/>
      <name val="Calibri"/>
      <family val="2"/>
    </font>
    <font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sz val="10"/>
      <color indexed="8"/>
      <name val="Arial"/>
      <family val="2"/>
    </font>
    <font>
      <u/>
      <sz val="11"/>
      <color indexed="12"/>
      <name val="Calibri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50"/>
        <bgColor indexed="51"/>
      </patternFill>
    </fill>
    <fill>
      <patternFill patternType="solid">
        <fgColor indexed="52"/>
        <bgColor indexed="51"/>
      </patternFill>
    </fill>
    <fill>
      <patternFill patternType="solid">
        <fgColor indexed="13"/>
        <bgColor indexed="34"/>
      </patternFill>
    </fill>
    <fill>
      <patternFill patternType="solid">
        <fgColor indexed="22"/>
        <bgColor indexed="31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164" fontId="7" fillId="0" borderId="0" applyFill="0" applyBorder="0" applyAlignment="0" applyProtection="0"/>
    <xf numFmtId="0" fontId="5" fillId="0" borderId="0" applyNumberFormat="0" applyFill="0" applyBorder="0" applyAlignment="0" applyProtection="0"/>
    <xf numFmtId="9" fontId="7" fillId="0" borderId="0" applyFill="0" applyBorder="0" applyAlignment="0" applyProtection="0"/>
  </cellStyleXfs>
  <cellXfs count="46">
    <xf numFmtId="0" fontId="0" fillId="0" borderId="0" xfId="0"/>
    <xf numFmtId="4" fontId="0" fillId="0" borderId="0" xfId="0" applyNumberFormat="1"/>
    <xf numFmtId="3" fontId="0" fillId="2" borderId="0" xfId="0" applyNumberFormat="1" applyFill="1" applyProtection="1">
      <protection locked="0"/>
    </xf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164" fontId="7" fillId="0" borderId="0" xfId="1" applyFill="1" applyBorder="1" applyAlignment="1" applyProtection="1"/>
    <xf numFmtId="165" fontId="0" fillId="2" borderId="0" xfId="3" applyNumberFormat="1" applyFont="1" applyFill="1" applyBorder="1" applyAlignment="1" applyProtection="1">
      <protection locked="0"/>
    </xf>
    <xf numFmtId="165" fontId="0" fillId="0" borderId="0" xfId="3" applyNumberFormat="1" applyFont="1" applyFill="1" applyBorder="1" applyAlignment="1" applyProtection="1"/>
    <xf numFmtId="0" fontId="2" fillId="3" borderId="2" xfId="0" applyFont="1" applyFill="1" applyBorder="1"/>
    <xf numFmtId="3" fontId="2" fillId="3" borderId="3" xfId="0" applyNumberFormat="1" applyFont="1" applyFill="1" applyBorder="1"/>
    <xf numFmtId="0" fontId="3" fillId="0" borderId="0" xfId="0" applyFont="1"/>
    <xf numFmtId="38" fontId="3" fillId="0" borderId="0" xfId="0" applyNumberFormat="1" applyFont="1"/>
    <xf numFmtId="37" fontId="4" fillId="0" borderId="0" xfId="0" applyNumberFormat="1" applyFont="1" applyAlignment="1" applyProtection="1">
      <alignment horizontal="right" vertical="center"/>
      <protection hidden="1"/>
    </xf>
    <xf numFmtId="0" fontId="0" fillId="0" borderId="0" xfId="0" applyAlignment="1">
      <alignment vertical="center"/>
    </xf>
    <xf numFmtId="9" fontId="0" fillId="2" borderId="0" xfId="3" applyFont="1" applyFill="1" applyBorder="1" applyAlignment="1" applyProtection="1">
      <alignment horizontal="right" vertical="center"/>
      <protection locked="0"/>
    </xf>
    <xf numFmtId="38" fontId="0" fillId="0" borderId="0" xfId="0" applyNumberFormat="1"/>
    <xf numFmtId="0" fontId="3" fillId="0" borderId="2" xfId="0" applyFont="1" applyBorder="1"/>
    <xf numFmtId="3" fontId="3" fillId="0" borderId="3" xfId="0" applyNumberFormat="1" applyFont="1" applyBorder="1"/>
    <xf numFmtId="166" fontId="0" fillId="0" borderId="0" xfId="0" applyNumberFormat="1"/>
    <xf numFmtId="0" fontId="2" fillId="3" borderId="4" xfId="0" applyFont="1" applyFill="1" applyBorder="1"/>
    <xf numFmtId="38" fontId="2" fillId="3" borderId="5" xfId="0" applyNumberFormat="1" applyFont="1" applyFill="1" applyBorder="1"/>
    <xf numFmtId="0" fontId="2" fillId="3" borderId="6" xfId="0" applyFont="1" applyFill="1" applyBorder="1"/>
    <xf numFmtId="38" fontId="2" fillId="3" borderId="7" xfId="0" applyNumberFormat="1" applyFont="1" applyFill="1" applyBorder="1"/>
    <xf numFmtId="164" fontId="7" fillId="0" borderId="1" xfId="1" applyFill="1" applyBorder="1" applyAlignment="1" applyProtection="1"/>
    <xf numFmtId="10" fontId="0" fillId="2" borderId="0" xfId="3" applyNumberFormat="1" applyFont="1" applyFill="1" applyBorder="1" applyAlignment="1" applyProtection="1">
      <protection locked="0"/>
    </xf>
    <xf numFmtId="0" fontId="5" fillId="0" borderId="0" xfId="2" applyNumberFormat="1" applyFill="1" applyBorder="1" applyAlignment="1" applyProtection="1"/>
    <xf numFmtId="0" fontId="0" fillId="0" borderId="0" xfId="0" applyAlignment="1">
      <alignment wrapText="1"/>
    </xf>
    <xf numFmtId="164" fontId="3" fillId="4" borderId="0" xfId="1" applyFont="1" applyFill="1" applyBorder="1" applyAlignment="1" applyProtection="1"/>
    <xf numFmtId="1" fontId="0" fillId="0" borderId="0" xfId="0" applyNumberFormat="1"/>
    <xf numFmtId="0" fontId="0" fillId="5" borderId="8" xfId="0" applyFill="1" applyBorder="1" applyAlignment="1">
      <alignment horizontal="center"/>
    </xf>
    <xf numFmtId="4" fontId="0" fillId="5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8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43" fontId="0" fillId="0" borderId="0" xfId="0" applyNumberFormat="1"/>
    <xf numFmtId="0" fontId="1" fillId="4" borderId="0" xfId="0" applyFont="1" applyFill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8" fillId="3" borderId="3" xfId="0" applyNumberFormat="1" applyFont="1" applyFill="1" applyBorder="1"/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00FF00"/>
      <rgbColor rgb="000000D4"/>
      <rgbColor rgb="00FCF30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xu\Dropbox\Karen%20Xu%20Latest%20Files\Real%20Estate%20Clients\Buyers\2024\prinayka\Loan%20Analysis%20and%20closing%20cost%20-%201.2m.xls" TargetMode="External"/><Relationship Id="rId1" Type="http://schemas.openxmlformats.org/officeDocument/2006/relationships/externalLinkPath" Target="/Users/kxu/Dropbox/Karen%20Xu%20Latest%20Files/Real%20Estate%20Clients/Buyers/2024/prinayka/Loan%20Analysis%20and%20closing%20cost%20-%201.2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osing cost + payment"/>
      <sheetName val="Payment Schedule"/>
    </sheetNames>
    <sheetDataSet>
      <sheetData sheetId="0"/>
      <sheetData sheetId="1">
        <row r="25">
          <cell r="F25">
            <v>796.39999999999964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6"/>
  <sheetViews>
    <sheetView tabSelected="1" workbookViewId="0">
      <selection activeCell="E16" sqref="E16"/>
    </sheetView>
  </sheetViews>
  <sheetFormatPr defaultRowHeight="14.4" x14ac:dyDescent="0.3"/>
  <cols>
    <col min="1" max="1" width="39" customWidth="1"/>
    <col min="2" max="2" width="15.44140625" style="1" customWidth="1"/>
    <col min="3" max="3" width="20.21875" customWidth="1"/>
    <col min="4" max="4" width="39.5546875" customWidth="1"/>
    <col min="5" max="5" width="13.88671875" customWidth="1"/>
    <col min="8" max="8" width="9.109375" customWidth="1"/>
  </cols>
  <sheetData>
    <row r="1" spans="1:9" ht="36.75" customHeight="1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2" spans="1:9" x14ac:dyDescent="0.3">
      <c r="A2" t="s">
        <v>1</v>
      </c>
      <c r="B2" s="2">
        <v>1000000</v>
      </c>
      <c r="C2" t="s">
        <v>2</v>
      </c>
      <c r="D2" t="s">
        <v>3</v>
      </c>
      <c r="E2" s="3">
        <f>'[1]Payment Schedule'!$F$25</f>
        <v>796.39999999999964</v>
      </c>
    </row>
    <row r="3" spans="1:9" x14ac:dyDescent="0.3">
      <c r="A3" t="s">
        <v>88</v>
      </c>
      <c r="B3" s="3">
        <f>B2*20%</f>
        <v>200000</v>
      </c>
      <c r="D3" s="4" t="s">
        <v>4</v>
      </c>
      <c r="E3" s="5">
        <v>0</v>
      </c>
    </row>
    <row r="4" spans="1:9" x14ac:dyDescent="0.3">
      <c r="A4" t="s">
        <v>5</v>
      </c>
      <c r="B4" s="2">
        <f>B2-B3</f>
        <v>800000</v>
      </c>
      <c r="C4" s="6">
        <v>750000</v>
      </c>
      <c r="D4" t="s">
        <v>6</v>
      </c>
      <c r="E4" s="3">
        <f>SUM(E2:E3)</f>
        <v>796.39999999999964</v>
      </c>
    </row>
    <row r="5" spans="1:9" x14ac:dyDescent="0.3">
      <c r="A5" t="s">
        <v>7</v>
      </c>
      <c r="B5" s="7">
        <v>0.06</v>
      </c>
      <c r="E5" s="3"/>
    </row>
    <row r="6" spans="1:9" ht="15.75" customHeight="1" x14ac:dyDescent="0.3">
      <c r="B6" s="8"/>
      <c r="D6" s="9" t="s">
        <v>8</v>
      </c>
      <c r="E6" s="45">
        <f>B30-E4</f>
        <v>3913.5458678886862</v>
      </c>
      <c r="F6" s="40" t="s">
        <v>9</v>
      </c>
      <c r="G6" s="40"/>
      <c r="H6" s="40"/>
      <c r="I6" s="40"/>
    </row>
    <row r="7" spans="1:9" x14ac:dyDescent="0.3">
      <c r="A7" t="s">
        <v>10</v>
      </c>
      <c r="B7" s="2"/>
      <c r="E7" s="1"/>
      <c r="F7" s="40"/>
      <c r="G7" s="40"/>
      <c r="H7" s="40"/>
      <c r="I7" s="40"/>
    </row>
    <row r="8" spans="1:9" x14ac:dyDescent="0.3">
      <c r="A8" t="s">
        <v>11</v>
      </c>
      <c r="B8" s="7"/>
      <c r="E8" s="1"/>
    </row>
    <row r="9" spans="1:9" x14ac:dyDescent="0.3">
      <c r="D9" t="s">
        <v>12</v>
      </c>
      <c r="E9" s="2">
        <v>3800</v>
      </c>
    </row>
    <row r="10" spans="1:9" x14ac:dyDescent="0.3">
      <c r="D10" s="11" t="s">
        <v>13</v>
      </c>
      <c r="E10" s="12">
        <f>E9-E6</f>
        <v>-113.54586788868619</v>
      </c>
      <c r="F10" t="s">
        <v>14</v>
      </c>
    </row>
    <row r="11" spans="1:9" x14ac:dyDescent="0.3">
      <c r="A11" t="s">
        <v>15</v>
      </c>
      <c r="B11" s="13">
        <f>(PMT(B5/12,360,B4,0,0))*(-1)</f>
        <v>4796.4042012220189</v>
      </c>
      <c r="C11" s="13"/>
    </row>
    <row r="12" spans="1:9" x14ac:dyDescent="0.3">
      <c r="A12" t="s">
        <v>16</v>
      </c>
      <c r="B12" s="13">
        <f>(PMT(B7/12,360,B8,0,0))*(-1)</f>
        <v>0</v>
      </c>
      <c r="C12" s="13"/>
    </row>
    <row r="13" spans="1:9" x14ac:dyDescent="0.3">
      <c r="A13" t="s">
        <v>17</v>
      </c>
      <c r="B13" s="2"/>
      <c r="D13" t="s">
        <v>18</v>
      </c>
      <c r="E13" s="3">
        <f>B2</f>
        <v>1000000</v>
      </c>
    </row>
    <row r="14" spans="1:9" ht="12.75" customHeight="1" x14ac:dyDescent="0.3">
      <c r="A14" t="s">
        <v>19</v>
      </c>
      <c r="B14" s="2">
        <v>100</v>
      </c>
      <c r="D14" s="14" t="s">
        <v>20</v>
      </c>
      <c r="E14" s="15">
        <v>1.4999999999999999E-2</v>
      </c>
      <c r="F14" s="41" t="s">
        <v>21</v>
      </c>
      <c r="G14" s="41"/>
      <c r="H14" s="41"/>
      <c r="I14" s="41"/>
    </row>
    <row r="15" spans="1:9" x14ac:dyDescent="0.3">
      <c r="A15" t="s">
        <v>89</v>
      </c>
      <c r="B15" s="3">
        <f>(B2*0.0125)/12</f>
        <v>1041.6666666666667</v>
      </c>
      <c r="D15" t="s">
        <v>22</v>
      </c>
      <c r="E15" s="16">
        <f>FV(E14,5,1,E13,0)*-1</f>
        <v>1077289.1561513001</v>
      </c>
      <c r="F15" s="41"/>
      <c r="G15" s="41"/>
      <c r="H15" s="41"/>
      <c r="I15" s="41"/>
    </row>
    <row r="16" spans="1:9" x14ac:dyDescent="0.3">
      <c r="A16" s="17" t="s">
        <v>23</v>
      </c>
      <c r="B16" s="18">
        <f>SUM(B11:B15)</f>
        <v>5938.0708678886858</v>
      </c>
      <c r="D16" t="s">
        <v>24</v>
      </c>
      <c r="E16" s="16">
        <f>FV(E14,10,1,E13,0)*-1</f>
        <v>1160551.5277468169</v>
      </c>
      <c r="G16" s="19"/>
    </row>
    <row r="17" spans="1:6" x14ac:dyDescent="0.3">
      <c r="E17" s="1"/>
    </row>
    <row r="18" spans="1:6" ht="15" thickBot="1" x14ac:dyDescent="0.35">
      <c r="D18" s="20" t="s">
        <v>25</v>
      </c>
      <c r="E18" s="21">
        <f>(E15-E13)+(E10*60)</f>
        <v>70476.404077978892</v>
      </c>
    </row>
    <row r="19" spans="1:6" ht="15" thickBot="1" x14ac:dyDescent="0.35">
      <c r="A19" t="s">
        <v>26</v>
      </c>
      <c r="B19" s="6">
        <f>(C4*B5)/12</f>
        <v>3750</v>
      </c>
      <c r="C19" t="s">
        <v>27</v>
      </c>
      <c r="D19" s="22" t="s">
        <v>28</v>
      </c>
      <c r="E19" s="21">
        <f>E16-B2</f>
        <v>160551.52774681686</v>
      </c>
    </row>
    <row r="20" spans="1:6" x14ac:dyDescent="0.3">
      <c r="A20" t="s">
        <v>29</v>
      </c>
      <c r="B20" s="6">
        <f>(B7*B8)/12</f>
        <v>0</v>
      </c>
    </row>
    <row r="21" spans="1:6" x14ac:dyDescent="0.3">
      <c r="A21" s="4" t="s">
        <v>30</v>
      </c>
      <c r="B21" s="24"/>
      <c r="C21" t="s">
        <v>31</v>
      </c>
    </row>
    <row r="22" spans="1:6" x14ac:dyDescent="0.3">
      <c r="A22" t="s">
        <v>32</v>
      </c>
      <c r="B22" s="6">
        <f>SUM(B19:B21)</f>
        <v>3750</v>
      </c>
      <c r="C22" s="38"/>
    </row>
    <row r="24" spans="1:6" x14ac:dyDescent="0.3">
      <c r="A24" t="s">
        <v>33</v>
      </c>
      <c r="B24" s="25">
        <v>0.28000000000000003</v>
      </c>
    </row>
    <row r="25" spans="1:6" x14ac:dyDescent="0.3">
      <c r="A25" t="s">
        <v>34</v>
      </c>
      <c r="B25" s="25">
        <v>9.5000000000000001E-2</v>
      </c>
    </row>
    <row r="26" spans="1:6" x14ac:dyDescent="0.3">
      <c r="A26" t="s">
        <v>35</v>
      </c>
      <c r="B26" s="2">
        <v>5700</v>
      </c>
    </row>
    <row r="27" spans="1:6" x14ac:dyDescent="0.3">
      <c r="F27" s="26"/>
    </row>
    <row r="28" spans="1:6" x14ac:dyDescent="0.3">
      <c r="A28" s="27" t="s">
        <v>36</v>
      </c>
      <c r="B28" s="28">
        <f>(B22-(B26/12))*(B24+B25)</f>
        <v>1228.125</v>
      </c>
    </row>
    <row r="29" spans="1:6" x14ac:dyDescent="0.3">
      <c r="B29" s="3"/>
    </row>
    <row r="30" spans="1:6" x14ac:dyDescent="0.3">
      <c r="A30" s="17" t="s">
        <v>37</v>
      </c>
      <c r="B30" s="18">
        <f>B16-B28</f>
        <v>4709.9458678886858</v>
      </c>
      <c r="C30" t="s">
        <v>38</v>
      </c>
    </row>
    <row r="32" spans="1:6" x14ac:dyDescent="0.3">
      <c r="F32" s="26"/>
    </row>
    <row r="33" spans="1:4" ht="12.75" customHeight="1" x14ac:dyDescent="0.3">
      <c r="A33" s="40" t="s">
        <v>39</v>
      </c>
      <c r="B33" s="40"/>
      <c r="C33" s="40"/>
      <c r="D33" s="40"/>
    </row>
    <row r="34" spans="1:4" x14ac:dyDescent="0.3">
      <c r="A34" s="40"/>
      <c r="B34" s="40"/>
      <c r="C34" s="40"/>
      <c r="D34" s="40"/>
    </row>
    <row r="36" spans="1:4" x14ac:dyDescent="0.3">
      <c r="A36" t="s">
        <v>40</v>
      </c>
    </row>
  </sheetData>
  <sheetProtection selectLockedCells="1" selectUnlockedCells="1"/>
  <mergeCells count="4">
    <mergeCell ref="A1:I1"/>
    <mergeCell ref="F6:I7"/>
    <mergeCell ref="F14:I15"/>
    <mergeCell ref="A33:D34"/>
  </mergeCells>
  <pageMargins left="0.45" right="0.45" top="0.75" bottom="0.75" header="0.51180555555555551" footer="0.3"/>
  <pageSetup scale="78" firstPageNumber="0" orientation="landscape" r:id="rId1"/>
  <headerFooter alignWithMargins="0">
    <oddFooter xml:space="preserve">&amp;CKaren Fangfang Xu, Realtor MBA
Astute Realty Inc, CA
 TEL: (408)859-7539 email: kxu@astuterealtyinc.com 
Website: http://karenxu.com
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6"/>
  <sheetViews>
    <sheetView workbookViewId="0">
      <selection activeCell="B4" sqref="B4"/>
    </sheetView>
  </sheetViews>
  <sheetFormatPr defaultRowHeight="14.4" x14ac:dyDescent="0.3"/>
  <cols>
    <col min="1" max="1" width="24.44140625" customWidth="1"/>
    <col min="2" max="2" width="15.44140625" style="1" customWidth="1"/>
    <col min="3" max="3" width="20.21875" customWidth="1"/>
    <col min="4" max="4" width="30.88671875" customWidth="1"/>
    <col min="5" max="5" width="13.88671875" customWidth="1"/>
    <col min="7" max="7" width="35.5546875" customWidth="1"/>
    <col min="8" max="8" width="20.5546875" customWidth="1"/>
  </cols>
  <sheetData>
    <row r="1" spans="1:9" ht="51" customHeight="1" x14ac:dyDescent="0.3">
      <c r="A1" s="42" t="s">
        <v>0</v>
      </c>
      <c r="B1" s="42"/>
      <c r="C1" s="42"/>
      <c r="D1" s="42"/>
      <c r="E1" s="42"/>
      <c r="F1" s="42"/>
      <c r="G1" s="42"/>
      <c r="H1" s="42"/>
      <c r="I1" s="42"/>
    </row>
    <row r="2" spans="1:9" x14ac:dyDescent="0.3">
      <c r="A2" t="s">
        <v>1</v>
      </c>
      <c r="B2" s="2">
        <v>400000</v>
      </c>
      <c r="D2" t="s">
        <v>41</v>
      </c>
      <c r="E2" s="3">
        <f>B11-B19</f>
        <v>561.71793756830721</v>
      </c>
    </row>
    <row r="3" spans="1:9" x14ac:dyDescent="0.3">
      <c r="B3" s="3"/>
      <c r="D3" s="4" t="s">
        <v>42</v>
      </c>
      <c r="E3" s="5">
        <f>B12-B20</f>
        <v>0</v>
      </c>
    </row>
    <row r="4" spans="1:9" x14ac:dyDescent="0.3">
      <c r="A4" t="s">
        <v>43</v>
      </c>
      <c r="B4" s="2">
        <f>(B2*0.965)+((B2*0.965)*0.01)</f>
        <v>389860</v>
      </c>
      <c r="D4" t="s">
        <v>44</v>
      </c>
      <c r="E4" s="3">
        <f>SUM(E2:E3)</f>
        <v>561.71793756830721</v>
      </c>
    </row>
    <row r="5" spans="1:9" x14ac:dyDescent="0.3">
      <c r="A5" t="s">
        <v>7</v>
      </c>
      <c r="B5" s="7">
        <v>0.04</v>
      </c>
      <c r="E5" s="3"/>
    </row>
    <row r="6" spans="1:9" ht="15.75" customHeight="1" x14ac:dyDescent="0.3">
      <c r="B6" s="8"/>
      <c r="D6" s="9" t="s">
        <v>8</v>
      </c>
      <c r="E6" s="10">
        <f>B30-E4</f>
        <v>1993.7044000000001</v>
      </c>
      <c r="F6" s="40" t="s">
        <v>9</v>
      </c>
      <c r="G6" s="40"/>
      <c r="H6" s="40"/>
      <c r="I6" s="40"/>
    </row>
    <row r="7" spans="1:9" x14ac:dyDescent="0.3">
      <c r="A7" t="s">
        <v>10</v>
      </c>
      <c r="B7" s="2">
        <v>0</v>
      </c>
      <c r="E7" s="1"/>
      <c r="F7" s="40"/>
      <c r="G7" s="40"/>
      <c r="H7" s="40"/>
      <c r="I7" s="40"/>
    </row>
    <row r="8" spans="1:9" x14ac:dyDescent="0.3">
      <c r="A8" t="s">
        <v>11</v>
      </c>
      <c r="B8" s="7">
        <v>0</v>
      </c>
      <c r="E8" s="1"/>
    </row>
    <row r="9" spans="1:9" x14ac:dyDescent="0.3">
      <c r="D9" t="s">
        <v>12</v>
      </c>
      <c r="E9" s="2">
        <v>2200</v>
      </c>
    </row>
    <row r="10" spans="1:9" x14ac:dyDescent="0.3">
      <c r="D10" t="s">
        <v>13</v>
      </c>
      <c r="E10" s="16">
        <f>E9-E6</f>
        <v>206.29559999999992</v>
      </c>
      <c r="F10" t="s">
        <v>14</v>
      </c>
    </row>
    <row r="11" spans="1:9" x14ac:dyDescent="0.3">
      <c r="A11" t="s">
        <v>45</v>
      </c>
      <c r="B11" s="13">
        <f>(PMT(B5/12,360,B4,0,0))*(-1)</f>
        <v>1861.2512709016405</v>
      </c>
    </row>
    <row r="12" spans="1:9" x14ac:dyDescent="0.3">
      <c r="A12" t="s">
        <v>46</v>
      </c>
      <c r="B12" s="13">
        <f>(PMT(B8/12,360,B7,0,0))*(-1)</f>
        <v>0</v>
      </c>
    </row>
    <row r="13" spans="1:9" x14ac:dyDescent="0.3">
      <c r="A13" t="s">
        <v>47</v>
      </c>
      <c r="B13" s="2">
        <v>70</v>
      </c>
      <c r="D13" t="s">
        <v>18</v>
      </c>
      <c r="E13" s="3">
        <f>B2</f>
        <v>400000</v>
      </c>
    </row>
    <row r="14" spans="1:9" ht="12.75" customHeight="1" x14ac:dyDescent="0.3">
      <c r="A14" t="s">
        <v>48</v>
      </c>
      <c r="B14" s="2">
        <v>588</v>
      </c>
      <c r="D14" s="14" t="s">
        <v>20</v>
      </c>
      <c r="E14" s="15">
        <v>0.04</v>
      </c>
      <c r="F14" s="41" t="s">
        <v>21</v>
      </c>
      <c r="G14" s="41"/>
      <c r="H14" s="41"/>
      <c r="I14" s="41"/>
    </row>
    <row r="15" spans="1:9" x14ac:dyDescent="0.3">
      <c r="A15" s="4" t="s">
        <v>49</v>
      </c>
      <c r="B15" s="5">
        <f>(B2*0.0115)/12</f>
        <v>383.33333333333331</v>
      </c>
      <c r="D15" t="s">
        <v>22</v>
      </c>
      <c r="E15" s="16">
        <f>FV(E14,5,1,E13,0)*-1</f>
        <v>486666.57728256012</v>
      </c>
      <c r="F15" s="41"/>
      <c r="G15" s="41"/>
      <c r="H15" s="41"/>
      <c r="I15" s="41"/>
    </row>
    <row r="16" spans="1:9" x14ac:dyDescent="0.3">
      <c r="A16" t="s">
        <v>50</v>
      </c>
      <c r="B16" s="3">
        <f>SUM(B11:B15)</f>
        <v>2902.584604234974</v>
      </c>
      <c r="D16" t="s">
        <v>24</v>
      </c>
      <c r="E16" s="16">
        <f>FV(E14,10,1,E13,0)*-1</f>
        <v>592109.72007446084</v>
      </c>
      <c r="G16" s="19"/>
    </row>
    <row r="17" spans="1:6" x14ac:dyDescent="0.3">
      <c r="E17" s="1"/>
    </row>
    <row r="18" spans="1:6" x14ac:dyDescent="0.3">
      <c r="D18" s="20" t="s">
        <v>25</v>
      </c>
      <c r="E18" s="21">
        <f>(E15-E13)+(E10*60)</f>
        <v>99044.313282560106</v>
      </c>
    </row>
    <row r="19" spans="1:6" x14ac:dyDescent="0.3">
      <c r="A19" t="s">
        <v>51</v>
      </c>
      <c r="B19" s="3">
        <f>(B4*B5)/12</f>
        <v>1299.5333333333333</v>
      </c>
      <c r="D19" s="22" t="s">
        <v>28</v>
      </c>
      <c r="E19" s="23">
        <f>(E16-E13)+(E10*120)</f>
        <v>216865.19207446082</v>
      </c>
    </row>
    <row r="20" spans="1:6" x14ac:dyDescent="0.3">
      <c r="A20" t="s">
        <v>52</v>
      </c>
      <c r="B20" s="3">
        <f>(B7*B8)/12</f>
        <v>0</v>
      </c>
    </row>
    <row r="21" spans="1:6" x14ac:dyDescent="0.3">
      <c r="A21" s="4" t="s">
        <v>53</v>
      </c>
      <c r="B21" s="5">
        <f>B15</f>
        <v>383.33333333333331</v>
      </c>
    </row>
    <row r="22" spans="1:6" x14ac:dyDescent="0.3">
      <c r="A22" t="s">
        <v>32</v>
      </c>
      <c r="B22" s="3">
        <f>SUM(B19:B21)</f>
        <v>1682.8666666666666</v>
      </c>
    </row>
    <row r="24" spans="1:6" x14ac:dyDescent="0.3">
      <c r="A24" t="s">
        <v>33</v>
      </c>
      <c r="B24" s="25">
        <v>0.28000000000000003</v>
      </c>
    </row>
    <row r="25" spans="1:6" x14ac:dyDescent="0.3">
      <c r="A25" t="s">
        <v>34</v>
      </c>
      <c r="B25" s="25">
        <v>9.5500000000000002E-2</v>
      </c>
    </row>
    <row r="26" spans="1:6" x14ac:dyDescent="0.3">
      <c r="A26" t="s">
        <v>35</v>
      </c>
      <c r="B26" s="2">
        <v>9100</v>
      </c>
    </row>
    <row r="27" spans="1:6" x14ac:dyDescent="0.3">
      <c r="F27" s="26"/>
    </row>
    <row r="28" spans="1:6" x14ac:dyDescent="0.3">
      <c r="A28" s="27" t="s">
        <v>36</v>
      </c>
      <c r="B28" s="29">
        <f>(B22-(B26/12))*(B24+B25)</f>
        <v>347.16226666666665</v>
      </c>
    </row>
    <row r="29" spans="1:6" x14ac:dyDescent="0.3">
      <c r="B29" s="3"/>
    </row>
    <row r="30" spans="1:6" x14ac:dyDescent="0.3">
      <c r="A30" t="s">
        <v>54</v>
      </c>
      <c r="B30" s="3">
        <f>B16-B28</f>
        <v>2555.4223375683073</v>
      </c>
      <c r="C30" t="s">
        <v>38</v>
      </c>
    </row>
    <row r="32" spans="1:6" x14ac:dyDescent="0.3">
      <c r="F32" s="26"/>
    </row>
    <row r="33" spans="1:4" ht="12.75" customHeight="1" x14ac:dyDescent="0.3">
      <c r="A33" s="40" t="s">
        <v>39</v>
      </c>
      <c r="B33" s="40"/>
      <c r="C33" s="40"/>
      <c r="D33" s="40"/>
    </row>
    <row r="34" spans="1:4" x14ac:dyDescent="0.3">
      <c r="A34" s="40"/>
      <c r="B34" s="40"/>
      <c r="C34" s="40"/>
      <c r="D34" s="40"/>
    </row>
    <row r="36" spans="1:4" x14ac:dyDescent="0.3">
      <c r="A36" t="s">
        <v>40</v>
      </c>
    </row>
  </sheetData>
  <sheetProtection selectLockedCells="1" selectUnlockedCells="1"/>
  <mergeCells count="4">
    <mergeCell ref="A1:I1"/>
    <mergeCell ref="F6:I7"/>
    <mergeCell ref="F14:I15"/>
    <mergeCell ref="A33:D34"/>
  </mergeCells>
  <pageMargins left="0.45" right="0.45" top="0.75" bottom="0.75" header="0.51180555555555551" footer="0.51180555555555551"/>
  <pageSetup firstPageNumber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32"/>
  <sheetViews>
    <sheetView workbookViewId="0">
      <selection activeCell="B10" sqref="B10"/>
    </sheetView>
  </sheetViews>
  <sheetFormatPr defaultRowHeight="14.4" x14ac:dyDescent="0.3"/>
  <cols>
    <col min="1" max="1" width="19.44140625" customWidth="1"/>
    <col min="2" max="2" width="16.21875" customWidth="1"/>
    <col min="3" max="3" width="20.88671875" customWidth="1"/>
  </cols>
  <sheetData>
    <row r="2" spans="1:4" ht="15.6" x14ac:dyDescent="0.3">
      <c r="A2" s="43" t="s">
        <v>55</v>
      </c>
      <c r="B2" s="43"/>
      <c r="C2" s="43"/>
    </row>
    <row r="3" spans="1:4" x14ac:dyDescent="0.3">
      <c r="B3" s="1"/>
    </row>
    <row r="4" spans="1:4" x14ac:dyDescent="0.3">
      <c r="B4" s="1"/>
    </row>
    <row r="5" spans="1:4" x14ac:dyDescent="0.3">
      <c r="A5" s="44" t="s">
        <v>56</v>
      </c>
      <c r="B5" s="44"/>
      <c r="C5" s="44"/>
    </row>
    <row r="6" spans="1:4" x14ac:dyDescent="0.3">
      <c r="A6" s="30" t="s">
        <v>57</v>
      </c>
      <c r="B6" s="31" t="s">
        <v>58</v>
      </c>
      <c r="C6" s="30" t="s">
        <v>59</v>
      </c>
      <c r="D6" s="32"/>
    </row>
    <row r="7" spans="1:4" x14ac:dyDescent="0.3">
      <c r="A7" s="33">
        <v>0.1</v>
      </c>
      <c r="B7" s="34" t="s">
        <v>60</v>
      </c>
      <c r="C7" s="35" t="s">
        <v>61</v>
      </c>
      <c r="D7" s="32"/>
    </row>
    <row r="8" spans="1:4" x14ac:dyDescent="0.3">
      <c r="A8" s="33">
        <v>0.15</v>
      </c>
      <c r="B8" s="34" t="s">
        <v>62</v>
      </c>
      <c r="C8" s="35" t="s">
        <v>63</v>
      </c>
      <c r="D8" s="32"/>
    </row>
    <row r="9" spans="1:4" x14ac:dyDescent="0.3">
      <c r="A9" s="33">
        <v>0.25</v>
      </c>
      <c r="B9" s="34" t="s">
        <v>64</v>
      </c>
      <c r="C9" s="35" t="s">
        <v>65</v>
      </c>
      <c r="D9" s="32"/>
    </row>
    <row r="10" spans="1:4" x14ac:dyDescent="0.3">
      <c r="A10" s="33">
        <v>0.28000000000000003</v>
      </c>
      <c r="B10" s="34" t="s">
        <v>66</v>
      </c>
      <c r="C10" s="35" t="s">
        <v>67</v>
      </c>
      <c r="D10" s="32"/>
    </row>
    <row r="11" spans="1:4" x14ac:dyDescent="0.3">
      <c r="A11" s="33">
        <v>0.33</v>
      </c>
      <c r="B11" s="34" t="s">
        <v>68</v>
      </c>
      <c r="C11" s="35" t="s">
        <v>69</v>
      </c>
      <c r="D11" s="32"/>
    </row>
    <row r="12" spans="1:4" x14ac:dyDescent="0.3">
      <c r="A12" s="33">
        <v>0.35</v>
      </c>
      <c r="B12" s="34" t="s">
        <v>70</v>
      </c>
      <c r="C12" s="35" t="s">
        <v>71</v>
      </c>
      <c r="D12" s="32"/>
    </row>
    <row r="13" spans="1:4" x14ac:dyDescent="0.3">
      <c r="B13" s="1"/>
    </row>
    <row r="14" spans="1:4" x14ac:dyDescent="0.3">
      <c r="B14" s="1"/>
    </row>
    <row r="15" spans="1:4" x14ac:dyDescent="0.3">
      <c r="B15" s="1"/>
    </row>
    <row r="16" spans="1:4" x14ac:dyDescent="0.3">
      <c r="A16" s="44" t="s">
        <v>72</v>
      </c>
      <c r="B16" s="44"/>
      <c r="C16" s="44"/>
    </row>
    <row r="17" spans="1:3" x14ac:dyDescent="0.3">
      <c r="A17" s="30" t="s">
        <v>57</v>
      </c>
      <c r="B17" s="31" t="s">
        <v>58</v>
      </c>
      <c r="C17" s="30" t="s">
        <v>59</v>
      </c>
    </row>
    <row r="18" spans="1:3" x14ac:dyDescent="0.3">
      <c r="A18" s="36">
        <v>1.2500000000000001E-2</v>
      </c>
      <c r="B18" s="34" t="s">
        <v>73</v>
      </c>
      <c r="C18" s="35" t="s">
        <v>74</v>
      </c>
    </row>
    <row r="19" spans="1:3" x14ac:dyDescent="0.3">
      <c r="A19" s="36">
        <v>2.2499999999999999E-2</v>
      </c>
      <c r="B19" s="34" t="s">
        <v>75</v>
      </c>
      <c r="C19" s="35" t="s">
        <v>76</v>
      </c>
    </row>
    <row r="20" spans="1:3" x14ac:dyDescent="0.3">
      <c r="A20" s="36">
        <v>4.2500000000000003E-2</v>
      </c>
      <c r="B20" s="34" t="s">
        <v>77</v>
      </c>
      <c r="C20" s="35" t="s">
        <v>78</v>
      </c>
    </row>
    <row r="21" spans="1:3" x14ac:dyDescent="0.3">
      <c r="A21" s="36">
        <v>6.25E-2</v>
      </c>
      <c r="B21" s="34" t="s">
        <v>79</v>
      </c>
      <c r="C21" s="35" t="s">
        <v>80</v>
      </c>
    </row>
    <row r="22" spans="1:3" x14ac:dyDescent="0.3">
      <c r="A22" s="36">
        <v>8.2500000000000004E-2</v>
      </c>
      <c r="B22" s="34" t="s">
        <v>81</v>
      </c>
      <c r="C22" s="35" t="s">
        <v>82</v>
      </c>
    </row>
    <row r="23" spans="1:3" x14ac:dyDescent="0.3">
      <c r="A23" s="36">
        <v>9.5500000000000002E-2</v>
      </c>
      <c r="B23" s="34" t="s">
        <v>83</v>
      </c>
      <c r="C23" s="35" t="s">
        <v>84</v>
      </c>
    </row>
    <row r="24" spans="1:3" x14ac:dyDescent="0.3">
      <c r="B24" s="1"/>
    </row>
    <row r="25" spans="1:3" x14ac:dyDescent="0.3">
      <c r="B25" s="1"/>
    </row>
    <row r="26" spans="1:3" x14ac:dyDescent="0.3">
      <c r="A26" s="37" t="s">
        <v>85</v>
      </c>
      <c r="B26" s="32"/>
      <c r="C26" s="32"/>
    </row>
    <row r="27" spans="1:3" x14ac:dyDescent="0.3">
      <c r="A27" t="s">
        <v>86</v>
      </c>
      <c r="B27" s="3"/>
    </row>
    <row r="28" spans="1:3" x14ac:dyDescent="0.3">
      <c r="A28" t="s">
        <v>87</v>
      </c>
      <c r="B28" s="3"/>
    </row>
    <row r="29" spans="1:3" x14ac:dyDescent="0.3">
      <c r="B29" s="1"/>
    </row>
    <row r="30" spans="1:3" x14ac:dyDescent="0.3">
      <c r="B30" s="1"/>
    </row>
    <row r="31" spans="1:3" x14ac:dyDescent="0.3">
      <c r="B31" s="1"/>
    </row>
    <row r="32" spans="1:3" x14ac:dyDescent="0.3">
      <c r="B32" s="1"/>
    </row>
  </sheetData>
  <sheetProtection selectLockedCells="1" selectUnlockedCells="1"/>
  <mergeCells count="3">
    <mergeCell ref="A2:C2"/>
    <mergeCell ref="A5:C5"/>
    <mergeCell ref="A16:C16"/>
  </mergeCell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Conventional Loans</vt:lpstr>
      <vt:lpstr>FHA Loans</vt:lpstr>
      <vt:lpstr>Tax Reference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Xu</dc:creator>
  <cp:keywords/>
  <dc:description/>
  <cp:lastModifiedBy>Karen Xu</cp:lastModifiedBy>
  <cp:revision/>
  <dcterms:created xsi:type="dcterms:W3CDTF">2021-10-10T20:10:07Z</dcterms:created>
  <dcterms:modified xsi:type="dcterms:W3CDTF">2025-06-16T00:29:39Z</dcterms:modified>
  <cp:category/>
  <cp:contentStatus/>
</cp:coreProperties>
</file>